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of" sheetId="1" state="visible" r:id="rId3"/>
    <sheet name="Problems" sheetId="2" state="visible" r:id="rId4"/>
    <sheet name="Spreadsheet Check" sheetId="3" state="visible" r:id="rId5"/>
    <sheet name="AI Working" sheetId="4" state="visible" r:id="rId6"/>
    <sheet name="Promp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<sst xmlns="http://schemas.openxmlformats.org/spreadsheetml/2006/main" count="80" uniqueCount="64">
  <si>
    <t xml:space="preserve">Proof: AI answers with and without steps, checked against a spreadsheet</t>
  </si>
  <si>
    <t xml:space="preserve">An answer is Correct if it is within ₹0.01 of the spreadsheet answer. Yellow cells are the AI answers and can be replaced with your own results from Gemini or ChatGPT; everything else updates automatically. The AI answers shown here were produced by Claude in this chat, not by a separate model (see AI Working).</t>
  </si>
  <si>
    <t xml:space="preserve">Method</t>
  </si>
  <si>
    <t xml:space="preserve">Correct</t>
  </si>
  <si>
    <t xml:space="preserve">Total</t>
  </si>
  <si>
    <t xml:space="preserve">Accuracy</t>
  </si>
  <si>
    <t xml:space="preserve">Without steps</t>
  </si>
  <si>
    <t xml:space="preserve">With steps</t>
  </si>
  <si>
    <t xml:space="preserve">Result</t>
  </si>
  <si>
    <t xml:space="preserve">5 problems checked</t>
  </si>
  <si>
    <t xml:space="preserve">#</t>
  </si>
  <si>
    <t xml:space="preserve">Spreadsheet answer</t>
  </si>
  <si>
    <t xml:space="preserve">AI without steps</t>
  </si>
  <si>
    <t xml:space="preserve">Difference</t>
  </si>
  <si>
    <t xml:space="preserve">AI with steps</t>
  </si>
  <si>
    <t xml:space="preserve">5 Money Problems (discount + GST + freight)</t>
  </si>
  <si>
    <t xml:space="preserve">Problem</t>
  </si>
  <si>
    <t xml:space="preserve">A customer orders 1,200 units at ₹450 each. Orders above 1,000 units get 8% off. Loyal customers get an extra 2% off the discounted price. Then add 18% GST. Freight of ₹2,500 is added at the end and has no GST. What is the invoice total?</t>
  </si>
  <si>
    <t xml:space="preserve">A shop buys 80 laptop bags at ₹1,250 each. Orders above 50 units get 5% off. Freight of ₹1,800 is added before GST and is taxable. GST is 12%. What is the invoice total?</t>
  </si>
  <si>
    <t xml:space="preserve">A company orders 250 units at ₹320 each. Orders above 200 units get 10% off. A coupon then takes ₹2,000 off the discounted price. GST of 18% applies to the goods. Freight of ₹3,000 also carries 18% GST. What is the invoice total?</t>
  </si>
  <si>
    <t xml:space="preserve">An office orders 60 chairs at ₹4,200 each. Orders with a value above ₹200,000 get 15% off. Add 18% GST on the discounted price. Freight of ₹6,500 is added at the end and has no GST. What is the invoice total?</t>
  </si>
  <si>
    <t xml:space="preserve">A dealer buys 15 machines at ₹18,500 each. A festival offer gives 12% off. Paying in advance gives an extra 5% off the discounted price. Freight of ₹1,200 is added before GST and is taxable. GST is 5%. What is the invoice total?</t>
  </si>
  <si>
    <t xml:space="preserve">Spreadsheet Check: the correct answers, calculated with formulas</t>
  </si>
  <si>
    <t xml:space="preserve">Blue cells are the numbers from each problem. Everything else is a formula. Order of rules: volume discount → extra % off → coupon → taxable freight → GST → untaxed freight.</t>
  </si>
  <si>
    <t xml:space="preserve">Qty</t>
  </si>
  <si>
    <t xml:space="preserve">Unit price (₹)</t>
  </si>
  <si>
    <t xml:space="preserve">Gross (₹)</t>
  </si>
  <si>
    <t xml:space="preserve">Discount rule applies to</t>
  </si>
  <si>
    <t xml:space="preserve">Threshold</t>
  </si>
  <si>
    <t xml:space="preserve">Discount %</t>
  </si>
  <si>
    <t xml:space="preserve">Discount amount (₹)</t>
  </si>
  <si>
    <t xml:space="preserve">After discount (₹)</t>
  </si>
  <si>
    <t xml:space="preserve">Extra % off</t>
  </si>
  <si>
    <t xml:space="preserve">After extra (₹)</t>
  </si>
  <si>
    <t xml:space="preserve">Coupon (₹ off)</t>
  </si>
  <si>
    <t xml:space="preserve">Taxable freight (₹)</t>
  </si>
  <si>
    <t xml:space="preserve">Taxable base (₹)</t>
  </si>
  <si>
    <t xml:space="preserve">GST %</t>
  </si>
  <si>
    <t xml:space="preserve">GST amount (₹)</t>
  </si>
  <si>
    <t xml:space="preserve">Freight, no GST (₹)</t>
  </si>
  <si>
    <t xml:space="preserve">CORRECT TOTAL (₹)</t>
  </si>
  <si>
    <t xml:space="preserve">Value</t>
  </si>
  <si>
    <t xml:space="preserve">None</t>
  </si>
  <si>
    <t xml:space="preserve">AI Working: why answers differed</t>
  </si>
  <si>
    <t xml:space="preserve">Without steps: what went wrong</t>
  </si>
  <si>
    <t xml:space="preserve">With steps: the working shown by the AI</t>
  </si>
  <si>
    <t xml:space="preserve">Added the two discounts (8% + 2% = 10%) instead of taking 2% off the already-discounted price.</t>
  </si>
  <si>
    <t xml:space="preserve">1. Base: 1,200 × ₹450.00 = ₹540,000.00
2. 8% discount: -₹43,200.00 → ₹496,800.00
3. Extra 2% off the discounted price: -₹9,936.00 → ₹486,864.00
4. GST 18% on ₹486,864.00: +₹87,635.52 → ₹574,499.52
5. Add freight (no GST) ₹2,500.00 → ₹576,999.52
Final amount: ₹576,999.52</t>
  </si>
  <si>
    <t xml:space="preserve">Nothing wrong. The answer matches the spreadsheet.</t>
  </si>
  <si>
    <t xml:space="preserve">1. Base: 80 × ₹1,250.00 = ₹100,000.00
2. 5% discount: -₹5,000.00 → ₹95,000.00
3. Add taxable freight ₹1,800.00 → ₹96,800.00
4. GST 12% on ₹96,800.00: +₹11,616.00 → ₹108,416.00
Final amount: ₹108,416.00</t>
  </si>
  <si>
    <t xml:space="preserve">Took the ₹2,000 coupon off before the 10% discount instead of after it.</t>
  </si>
  <si>
    <t xml:space="preserve">1. Base: 250 × ₹320.00 = ₹80,000.00
2. 10% discount: -₹8,000.00 → ₹72,000.00
3. Coupon -₹2,000.00 → ₹70,000.00
4. Add taxable freight ₹3,000.00 → ₹73,000.00
5. GST 18% on ₹73,000.00: +₹13,140.00 → ₹86,140.00
Final amount: ₹86,140.00</t>
  </si>
  <si>
    <t xml:space="preserve">1. Base: 60 × ₹4,200.00 = ₹252,000.00
2. 15% discount: -₹37,800.00 → ₹214,200.00
3. GST 18% on ₹214,200.00: +₹38,556.00 → ₹252,756.00
4. Add freight (no GST) ₹6,500.00 → ₹259,256.00
Final amount: ₹259,256.00</t>
  </si>
  <si>
    <t xml:space="preserve">1. Base: 15 × ₹18,500.00 = ₹277,500.00
2. 12% discount: -₹33,300.00 → ₹244,200.00
3. Extra 5% off the discounted price: -₹12,210.00 → ₹231,990.00
4. Add taxable freight ₹1,200.00 → ₹233,190.00
5. GST 5% on ₹233,190.00: +₹11,659.50 → ₹244,849.50
Final amount: ₹244,849.50</t>
  </si>
  <si>
    <t xml:space="preserve">Prompts to paste into the AI (use a new chat for each)</t>
  </si>
  <si>
    <t xml:space="preserve">PROMPT A: Without steps</t>
  </si>
  <si>
    <t xml:space="preserve">Solve each problem below. Give only the final invoice total for each, with no working.</t>
  </si>
  <si>
    <t xml:space="preserve">Problem 1: A customer orders 1,200 units at ₹450 each. Orders above 1,000 units get 8% off. Loyal customers get an extra 2% off the discounted price. Then add 18% GST. Freight of ₹2,500 is added at the end and has no GST. What is the invoice total?</t>
  </si>
  <si>
    <t xml:space="preserve">Problem 2: A shop buys 80 laptop bags at ₹1,250 each. Orders above 50 units get 5% off. Freight of ₹1,800 is added before GST and is taxable. GST is 12%. What is the invoice total?</t>
  </si>
  <si>
    <t xml:space="preserve">Problem 3: A company orders 250 units at ₹320 each. Orders above 200 units get 10% off. A coupon then takes ₹2,000 off the discounted price. GST of 18% applies to the goods. Freight of ₹3,000 also carries 18% GST. What is the invoice total?</t>
  </si>
  <si>
    <t xml:space="preserve">Problem 4: An office orders 60 chairs at ₹4,200 each. Orders with a value above ₹200,000 get 15% off. Add 18% GST on the discounted price. Freight of ₹6,500 is added at the end and has no GST. What is the invoice total?</t>
  </si>
  <si>
    <t xml:space="preserve">Problem 5: A dealer buys 15 machines at ₹18,500 each. A festival offer gives 12% off. Paying in advance gives an extra 5% off the discounted price. Freight of ₹1,200 is added before GST and is taxable. GST is 5%. What is the invoice total?</t>
  </si>
  <si>
    <t xml:space="preserve">PROMPT B: With steps (the magic line)</t>
  </si>
  <si>
    <t xml:space="preserve">Work step by step. Show each rule you apply and the running total. Give the final amount last.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</si>
</sst>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%"/>
    <numFmt numFmtId="167" formatCode="\₹#,##0.00"/>
    <numFmt numFmtId="168" formatCode="\₹#,##0.00;[RED]&quot;-₹&quot;#,##0.00;\-"/>
    <numFmt numFmtId="169" formatCode="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8A"/>
      <name val="Arial"/>
      <family val="0"/>
      <charset val="1"/>
    </font>
    <font>
      <i val="true"/>
      <sz val="10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B45309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47857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color rgb="FF1F3A8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Consolas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A8A"/>
        <bgColor rgb="FF003366"/>
      </patternFill>
    </fill>
    <fill>
      <patternFill patternType="solid">
        <fgColor rgb="FFB45309"/>
        <bgColor rgb="FF993366"/>
      </patternFill>
    </fill>
    <fill>
      <patternFill patternType="solid">
        <fgColor rgb="FF047857"/>
        <bgColor rgb="FF008080"/>
      </patternFill>
    </fill>
    <fill>
      <patternFill patternType="solid">
        <fgColor rgb="FFE0E7FF"/>
        <bgColor rgb="FFF4F5F7"/>
      </patternFill>
    </fill>
    <fill>
      <patternFill patternType="solid">
        <fgColor rgb="FFFFFF99"/>
        <bgColor rgb="FFF4F5F7"/>
      </patternFill>
    </fill>
    <fill>
      <patternFill patternType="solid">
        <fgColor rgb="FFD1FAE5"/>
        <bgColor rgb="FFCCFFFF"/>
      </patternFill>
    </fill>
    <fill>
      <patternFill patternType="solid">
        <fgColor rgb="FFF4F5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47857"/>
      </font>
      <fill>
        <patternFill>
          <bgColor rgb="FFD1FAE5"/>
        </patternFill>
      </fill>
    </dxf>
    <dxf>
      <font>
        <name val="Arial"/>
        <charset val="1"/>
        <family val="0"/>
        <b val="1"/>
        <color rgb="FFB91C1C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B45309"/>
      <rgbColor rgb="FFF4F5F7"/>
      <rgbColor rgb="FFE0E7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39966"/>
      <rgbColor rgb="FF003300"/>
      <rgbColor rgb="FF333300"/>
      <rgbColor rgb="FFB91C1C"/>
      <rgbColor rgb="FF993366"/>
      <rgbColor rgb="FF1F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COUNTIF(E12:E16,"Correct")</f>
        <v>3</v>
      </c>
      <c r="C5" s="5" t="n">
        <f aca="false">COUNTA(B12:B16)</f>
        <v>5</v>
      </c>
      <c r="D5" s="6" t="n">
        <f aca="false">IF(C5=0,0,B5/C5)</f>
        <v>0.6</v>
      </c>
    </row>
    <row r="6" customFormat="false" ht="15" hidden="false" customHeight="false" outlineLevel="0" collapsed="false">
      <c r="A6" s="7" t="s">
        <v>7</v>
      </c>
      <c r="B6" s="5" t="n">
        <f aca="false">COUNTIF(H12:H16,"Correct")</f>
        <v>5</v>
      </c>
      <c r="C6" s="5" t="n">
        <f aca="false">COUNTA(B12:B16)</f>
        <v>5</v>
      </c>
      <c r="D6" s="6" t="n">
        <f aca="false">IF(C6=0,0,B6/C6)</f>
        <v>1</v>
      </c>
    </row>
    <row r="8" customFormat="false" ht="17.35" hidden="false" customHeight="false" outlineLevel="0" collapsed="false">
      <c r="A8" s="8" t="s">
        <v>8</v>
      </c>
      <c r="B8" s="9" t="str">
        <f aca="false">"Without steps "&amp;B5&amp;"/"&amp;C5&amp;"   vs   With steps "&amp;B6&amp;"/"&amp;C6</f>
        <v>Without steps 3/5   vs   With steps 5/5</v>
      </c>
      <c r="C8" s="9"/>
      <c r="D8" s="9"/>
      <c r="E8" s="9"/>
      <c r="F8" s="9"/>
      <c r="G8" s="9"/>
      <c r="H8" s="9"/>
    </row>
    <row r="10" customFormat="false" ht="15" hidden="false" customHeight="false" outlineLevel="0" collapsed="false">
      <c r="A10" s="8" t="s">
        <v>9</v>
      </c>
    </row>
    <row r="11" customFormat="false" ht="30" hidden="false" customHeight="true" outlineLevel="0" collapsed="false">
      <c r="A11" s="3" t="s">
        <v>10</v>
      </c>
      <c r="B11" s="3" t="s">
        <v>11</v>
      </c>
      <c r="C11" s="10" t="s">
        <v>12</v>
      </c>
      <c r="D11" s="10" t="s">
        <v>13</v>
      </c>
      <c r="E11" s="10" t="s">
        <v>8</v>
      </c>
      <c r="F11" s="11" t="s">
        <v>14</v>
      </c>
      <c r="G11" s="11" t="s">
        <v>13</v>
      </c>
      <c r="H11" s="11" t="s">
        <v>8</v>
      </c>
    </row>
    <row r="12" customFormat="false" ht="21.75" hidden="false" customHeight="true" outlineLevel="0" collapsed="false">
      <c r="A12" s="12" t="n">
        <v>1</v>
      </c>
      <c r="B12" s="13" t="n">
        <f aca="false">'Spreadsheet Check'!R5</f>
        <v>576999.52</v>
      </c>
      <c r="C12" s="14" t="n">
        <v>575980</v>
      </c>
      <c r="D12" s="15" t="n">
        <f aca="false">C12-B12</f>
        <v>-1019.52000000002</v>
      </c>
      <c r="E12" s="12" t="str">
        <f aca="false">IF(C12="","",IF(ABS(C12-B12)&lt;0.01,"Correct","Wrong"))</f>
        <v>Wrong</v>
      </c>
      <c r="F12" s="14" t="n">
        <v>576999.52</v>
      </c>
      <c r="G12" s="15" t="n">
        <f aca="false">F12-B12</f>
        <v>0</v>
      </c>
      <c r="H12" s="12" t="str">
        <f aca="false">IF(F12="","",IF(ABS(F12-B12)&lt;0.01,"Correct","Wrong"))</f>
        <v>Correct</v>
      </c>
    </row>
    <row r="13" customFormat="false" ht="21.75" hidden="false" customHeight="true" outlineLevel="0" collapsed="false">
      <c r="A13" s="12" t="n">
        <v>2</v>
      </c>
      <c r="B13" s="13" t="n">
        <f aca="false">'Spreadsheet Check'!R6</f>
        <v>108416</v>
      </c>
      <c r="C13" s="14" t="n">
        <v>108416</v>
      </c>
      <c r="D13" s="15" t="n">
        <f aca="false">C13-B13</f>
        <v>0</v>
      </c>
      <c r="E13" s="12" t="str">
        <f aca="false">IF(C13="","",IF(ABS(C13-B13)&lt;0.01,"Correct","Wrong"))</f>
        <v>Correct</v>
      </c>
      <c r="F13" s="14" t="n">
        <v>108416</v>
      </c>
      <c r="G13" s="15" t="n">
        <f aca="false">F13-B13</f>
        <v>0</v>
      </c>
      <c r="H13" s="12" t="str">
        <f aca="false">IF(F13="","",IF(ABS(F13-B13)&lt;0.01,"Correct","Wrong"))</f>
        <v>Correct</v>
      </c>
    </row>
    <row r="14" customFormat="false" ht="21.75" hidden="false" customHeight="true" outlineLevel="0" collapsed="false">
      <c r="A14" s="12" t="n">
        <v>3</v>
      </c>
      <c r="B14" s="13" t="n">
        <f aca="false">'Spreadsheet Check'!R7</f>
        <v>86140</v>
      </c>
      <c r="C14" s="14" t="n">
        <v>86376</v>
      </c>
      <c r="D14" s="15" t="n">
        <f aca="false">C14-B14</f>
        <v>236</v>
      </c>
      <c r="E14" s="12" t="str">
        <f aca="false">IF(C14="","",IF(ABS(C14-B14)&lt;0.01,"Correct","Wrong"))</f>
        <v>Wrong</v>
      </c>
      <c r="F14" s="14" t="n">
        <v>86140</v>
      </c>
      <c r="G14" s="15" t="n">
        <f aca="false">F14-B14</f>
        <v>0</v>
      </c>
      <c r="H14" s="12" t="str">
        <f aca="false">IF(F14="","",IF(ABS(F14-B14)&lt;0.01,"Correct","Wrong"))</f>
        <v>Correct</v>
      </c>
    </row>
    <row r="15" customFormat="false" ht="21.75" hidden="false" customHeight="true" outlineLevel="0" collapsed="false">
      <c r="A15" s="12" t="n">
        <v>4</v>
      </c>
      <c r="B15" s="13" t="n">
        <f aca="false">'Spreadsheet Check'!R8</f>
        <v>259256</v>
      </c>
      <c r="C15" s="14" t="n">
        <v>259256</v>
      </c>
      <c r="D15" s="15" t="n">
        <f aca="false">C15-B15</f>
        <v>0</v>
      </c>
      <c r="E15" s="12" t="str">
        <f aca="false">IF(C15="","",IF(ABS(C15-B15)&lt;0.01,"Correct","Wrong"))</f>
        <v>Correct</v>
      </c>
      <c r="F15" s="14" t="n">
        <v>259256</v>
      </c>
      <c r="G15" s="15" t="n">
        <f aca="false">F15-B15</f>
        <v>0</v>
      </c>
      <c r="H15" s="12" t="str">
        <f aca="false">IF(F15="","",IF(ABS(F15-B15)&lt;0.01,"Correct","Wrong"))</f>
        <v>Correct</v>
      </c>
    </row>
    <row r="16" customFormat="false" ht="21.75" hidden="false" customHeight="true" outlineLevel="0" collapsed="false">
      <c r="A16" s="12" t="n">
        <v>5</v>
      </c>
      <c r="B16" s="13" t="n">
        <f aca="false">'Spreadsheet Check'!R9</f>
        <v>244849.5</v>
      </c>
      <c r="C16" s="14" t="n">
        <v>244849.5</v>
      </c>
      <c r="D16" s="15" t="n">
        <f aca="false">C16-B16</f>
        <v>0</v>
      </c>
      <c r="E16" s="12" t="str">
        <f aca="false">IF(C16="","",IF(ABS(C16-B16)&lt;0.01,"Correct","Wrong"))</f>
        <v>Correct</v>
      </c>
      <c r="F16" s="14" t="n">
        <v>244849.5</v>
      </c>
      <c r="G16" s="15" t="n">
        <f aca="false">F16-B16</f>
        <v>0</v>
      </c>
      <c r="H16" s="12" t="str">
        <f aca="false">IF(F16="","",IF(ABS(F16-B16)&lt;0.01,"Correct","Wrong"))</f>
        <v>Correct</v>
      </c>
    </row>
  </sheetData>
  <mergeCells count="3">
    <mergeCell ref="A1:H1"/>
    <mergeCell ref="A2:H2"/>
    <mergeCell ref="B8:H8"/>
  </mergeCells>
  <conditionalFormatting sqref="E12:E16">
    <cfRule type="cellIs" priority="2" operator="equal" aboveAverage="0" equalAverage="0" bottom="0" percent="0" rank="0" text="" dxfId="0">
      <formula>"Correct"</formula>
    </cfRule>
    <cfRule type="cellIs" priority="3" operator="equal" aboveAverage="0" equalAverage="0" bottom="0" percent="0" rank="0" text="" dxfId="1">
      <formula>"Wrong"</formula>
    </cfRule>
  </conditionalFormatting>
  <conditionalFormatting sqref="H12:H16">
    <cfRule type="cellIs" priority="4" operator="equal" aboveAverage="0" equalAverage="0" bottom="0" percent="0" rank="0" text="" dxfId="0">
      <formula>"Correct"</formula>
    </cfRule>
    <cfRule type="cellIs" priority="5" operator="equal" aboveAverage="0" equalAverage="0" bottom="0" percent="0" rank="0" text="" dxfId="1">
      <formula>"Wrong"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6" t="s">
        <v>15</v>
      </c>
    </row>
    <row r="3" customFormat="false" ht="21.75" hidden="false" customHeight="true" outlineLevel="0" collapsed="false">
      <c r="A3" s="3" t="s">
        <v>10</v>
      </c>
      <c r="B3" s="3" t="s">
        <v>16</v>
      </c>
    </row>
    <row r="4" customFormat="false" ht="61.5" hidden="false" customHeight="true" outlineLevel="0" collapsed="false">
      <c r="A4" s="17" t="n">
        <v>1</v>
      </c>
      <c r="B4" s="18" t="s">
        <v>17</v>
      </c>
    </row>
    <row r="5" customFormat="false" ht="61.5" hidden="false" customHeight="true" outlineLevel="0" collapsed="false">
      <c r="A5" s="17" t="n">
        <v>2</v>
      </c>
      <c r="B5" s="18" t="s">
        <v>18</v>
      </c>
    </row>
    <row r="6" customFormat="false" ht="61.5" hidden="false" customHeight="true" outlineLevel="0" collapsed="false">
      <c r="A6" s="17" t="n">
        <v>3</v>
      </c>
      <c r="B6" s="18" t="s">
        <v>19</v>
      </c>
    </row>
    <row r="7" customFormat="false" ht="61.5" hidden="false" customHeight="true" outlineLevel="0" collapsed="false">
      <c r="A7" s="17" t="n">
        <v>4</v>
      </c>
      <c r="B7" s="18" t="s">
        <v>20</v>
      </c>
    </row>
    <row r="8" customFormat="false" ht="61.5" hidden="false" customHeight="true" outlineLevel="0" collapsed="false">
      <c r="A8" s="17" t="n">
        <v>5</v>
      </c>
      <c r="B8" s="18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5"/>
    <col collapsed="false" customWidth="true" hidden="false" outlineLevel="0" max="10" min="10" style="0" width="9"/>
    <col collapsed="false" customWidth="true" hidden="false" outlineLevel="0" max="11" min="11" style="0" width="15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5"/>
    <col collapsed="false" customWidth="true" hidden="false" outlineLevel="0" max="15" min="15" style="0" width="7"/>
    <col collapsed="false" customWidth="true" hidden="false" outlineLevel="0" max="16" min="16" style="0" width="14"/>
    <col collapsed="false" customWidth="true" hidden="false" outlineLevel="0" max="17" min="17" style="0" width="13"/>
    <col collapsed="false" customWidth="true" hidden="false" outlineLevel="0" max="18" min="18" style="0" width="18"/>
  </cols>
  <sheetData>
    <row r="1" customFormat="false" ht="19.7" hidden="false" customHeight="false" outlineLevel="0" collapsed="false">
      <c r="A1" s="16" t="s">
        <v>22</v>
      </c>
    </row>
    <row r="2" customFormat="false" ht="15" hidden="false" customHeight="false" outlineLevel="0" collapsed="false">
      <c r="A2" s="19" t="s">
        <v>23</v>
      </c>
    </row>
    <row r="4" customFormat="false" ht="43.5" hidden="false" customHeight="true" outlineLevel="0" collapsed="false">
      <c r="A4" s="3" t="s">
        <v>10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  <c r="L4" s="3" t="s">
        <v>34</v>
      </c>
      <c r="M4" s="3" t="s">
        <v>35</v>
      </c>
      <c r="N4" s="3" t="s">
        <v>36</v>
      </c>
      <c r="O4" s="3" t="s">
        <v>37</v>
      </c>
      <c r="P4" s="3" t="s">
        <v>38</v>
      </c>
      <c r="Q4" s="3" t="s">
        <v>39</v>
      </c>
      <c r="R4" s="11" t="s">
        <v>40</v>
      </c>
    </row>
    <row r="5" customFormat="false" ht="21.75" hidden="false" customHeight="true" outlineLevel="0" collapsed="false">
      <c r="A5" s="12" t="n">
        <v>1</v>
      </c>
      <c r="B5" s="20" t="n">
        <v>1200</v>
      </c>
      <c r="C5" s="21" t="n">
        <v>450</v>
      </c>
      <c r="D5" s="22" t="n">
        <f aca="false">B5*C5</f>
        <v>540000</v>
      </c>
      <c r="E5" s="20" t="s">
        <v>24</v>
      </c>
      <c r="F5" s="23" t="n">
        <v>1000</v>
      </c>
      <c r="G5" s="24" t="n">
        <v>0.08</v>
      </c>
      <c r="H5" s="22" t="n">
        <f aca="false">IF(OR(E5="None",AND(E5="Qty",B5&gt;F5),AND(E5="Value",D5&gt;F5)),D5*G5,0)</f>
        <v>43200</v>
      </c>
      <c r="I5" s="22" t="n">
        <f aca="false">D5-H5</f>
        <v>496800</v>
      </c>
      <c r="J5" s="24" t="n">
        <v>0.02</v>
      </c>
      <c r="K5" s="22" t="n">
        <f aca="false">I5*(1-J5)</f>
        <v>486864</v>
      </c>
      <c r="L5" s="21" t="n">
        <v>0</v>
      </c>
      <c r="M5" s="21" t="n">
        <v>0</v>
      </c>
      <c r="N5" s="22" t="n">
        <f aca="false">K5-L5+M5</f>
        <v>486864</v>
      </c>
      <c r="O5" s="24" t="n">
        <v>0.18</v>
      </c>
      <c r="P5" s="22" t="n">
        <f aca="false">N5*O5</f>
        <v>87635.52</v>
      </c>
      <c r="Q5" s="21" t="n">
        <v>2500</v>
      </c>
      <c r="R5" s="25" t="n">
        <f aca="false">ROUND(N5+P5+Q5,2)</f>
        <v>576999.52</v>
      </c>
    </row>
    <row r="6" customFormat="false" ht="21.75" hidden="false" customHeight="true" outlineLevel="0" collapsed="false">
      <c r="A6" s="12" t="n">
        <v>2</v>
      </c>
      <c r="B6" s="20" t="n">
        <v>80</v>
      </c>
      <c r="C6" s="21" t="n">
        <v>1250</v>
      </c>
      <c r="D6" s="22" t="n">
        <f aca="false">B6*C6</f>
        <v>100000</v>
      </c>
      <c r="E6" s="20" t="s">
        <v>24</v>
      </c>
      <c r="F6" s="23" t="n">
        <v>50</v>
      </c>
      <c r="G6" s="24" t="n">
        <v>0.05</v>
      </c>
      <c r="H6" s="22" t="n">
        <f aca="false">IF(OR(E6="None",AND(E6="Qty",B6&gt;F6),AND(E6="Value",D6&gt;F6)),D6*G6,0)</f>
        <v>5000</v>
      </c>
      <c r="I6" s="22" t="n">
        <f aca="false">D6-H6</f>
        <v>95000</v>
      </c>
      <c r="J6" s="24" t="n">
        <v>0</v>
      </c>
      <c r="K6" s="22" t="n">
        <f aca="false">I6*(1-J6)</f>
        <v>95000</v>
      </c>
      <c r="L6" s="21" t="n">
        <v>0</v>
      </c>
      <c r="M6" s="21" t="n">
        <v>1800</v>
      </c>
      <c r="N6" s="22" t="n">
        <f aca="false">K6-L6+M6</f>
        <v>96800</v>
      </c>
      <c r="O6" s="24" t="n">
        <v>0.12</v>
      </c>
      <c r="P6" s="22" t="n">
        <f aca="false">N6*O6</f>
        <v>11616</v>
      </c>
      <c r="Q6" s="21" t="n">
        <v>0</v>
      </c>
      <c r="R6" s="25" t="n">
        <f aca="false">ROUND(N6+P6+Q6,2)</f>
        <v>108416</v>
      </c>
    </row>
    <row r="7" customFormat="false" ht="21.75" hidden="false" customHeight="true" outlineLevel="0" collapsed="false">
      <c r="A7" s="12" t="n">
        <v>3</v>
      </c>
      <c r="B7" s="20" t="n">
        <v>250</v>
      </c>
      <c r="C7" s="21" t="n">
        <v>320</v>
      </c>
      <c r="D7" s="22" t="n">
        <f aca="false">B7*C7</f>
        <v>80000</v>
      </c>
      <c r="E7" s="20" t="s">
        <v>24</v>
      </c>
      <c r="F7" s="23" t="n">
        <v>200</v>
      </c>
      <c r="G7" s="24" t="n">
        <v>0.1</v>
      </c>
      <c r="H7" s="22" t="n">
        <f aca="false">IF(OR(E7="None",AND(E7="Qty",B7&gt;F7),AND(E7="Value",D7&gt;F7)),D7*G7,0)</f>
        <v>8000</v>
      </c>
      <c r="I7" s="22" t="n">
        <f aca="false">D7-H7</f>
        <v>72000</v>
      </c>
      <c r="J7" s="24" t="n">
        <v>0</v>
      </c>
      <c r="K7" s="22" t="n">
        <f aca="false">I7*(1-J7)</f>
        <v>72000</v>
      </c>
      <c r="L7" s="21" t="n">
        <v>2000</v>
      </c>
      <c r="M7" s="21" t="n">
        <v>3000</v>
      </c>
      <c r="N7" s="22" t="n">
        <f aca="false">K7-L7+M7</f>
        <v>73000</v>
      </c>
      <c r="O7" s="24" t="n">
        <v>0.18</v>
      </c>
      <c r="P7" s="22" t="n">
        <f aca="false">N7*O7</f>
        <v>13140</v>
      </c>
      <c r="Q7" s="21" t="n">
        <v>0</v>
      </c>
      <c r="R7" s="25" t="n">
        <f aca="false">ROUND(N7+P7+Q7,2)</f>
        <v>86140</v>
      </c>
    </row>
    <row r="8" customFormat="false" ht="21.75" hidden="false" customHeight="true" outlineLevel="0" collapsed="false">
      <c r="A8" s="12" t="n">
        <v>4</v>
      </c>
      <c r="B8" s="20" t="n">
        <v>60</v>
      </c>
      <c r="C8" s="21" t="n">
        <v>4200</v>
      </c>
      <c r="D8" s="22" t="n">
        <f aca="false">B8*C8</f>
        <v>252000</v>
      </c>
      <c r="E8" s="20" t="s">
        <v>41</v>
      </c>
      <c r="F8" s="23" t="n">
        <v>200000</v>
      </c>
      <c r="G8" s="24" t="n">
        <v>0.15</v>
      </c>
      <c r="H8" s="22" t="n">
        <f aca="false">IF(OR(E8="None",AND(E8="Qty",B8&gt;F8),AND(E8="Value",D8&gt;F8)),D8*G8,0)</f>
        <v>37800</v>
      </c>
      <c r="I8" s="22" t="n">
        <f aca="false">D8-H8</f>
        <v>214200</v>
      </c>
      <c r="J8" s="24" t="n">
        <v>0</v>
      </c>
      <c r="K8" s="22" t="n">
        <f aca="false">I8*(1-J8)</f>
        <v>214200</v>
      </c>
      <c r="L8" s="21" t="n">
        <v>0</v>
      </c>
      <c r="M8" s="21" t="n">
        <v>0</v>
      </c>
      <c r="N8" s="22" t="n">
        <f aca="false">K8-L8+M8</f>
        <v>214200</v>
      </c>
      <c r="O8" s="24" t="n">
        <v>0.18</v>
      </c>
      <c r="P8" s="22" t="n">
        <f aca="false">N8*O8</f>
        <v>38556</v>
      </c>
      <c r="Q8" s="21" t="n">
        <v>6500</v>
      </c>
      <c r="R8" s="25" t="n">
        <f aca="false">ROUND(N8+P8+Q8,2)</f>
        <v>259256</v>
      </c>
    </row>
    <row r="9" customFormat="false" ht="21.75" hidden="false" customHeight="true" outlineLevel="0" collapsed="false">
      <c r="A9" s="12" t="n">
        <v>5</v>
      </c>
      <c r="B9" s="20" t="n">
        <v>15</v>
      </c>
      <c r="C9" s="21" t="n">
        <v>18500</v>
      </c>
      <c r="D9" s="22" t="n">
        <f aca="false">B9*C9</f>
        <v>277500</v>
      </c>
      <c r="E9" s="20" t="s">
        <v>42</v>
      </c>
      <c r="F9" s="23" t="n">
        <v>0</v>
      </c>
      <c r="G9" s="24" t="n">
        <v>0.12</v>
      </c>
      <c r="H9" s="22" t="n">
        <f aca="false">IF(OR(E9="None",AND(E9="Qty",B9&gt;F9),AND(E9="Value",D9&gt;F9)),D9*G9,0)</f>
        <v>33300</v>
      </c>
      <c r="I9" s="22" t="n">
        <f aca="false">D9-H9</f>
        <v>244200</v>
      </c>
      <c r="J9" s="24" t="n">
        <v>0.05</v>
      </c>
      <c r="K9" s="22" t="n">
        <f aca="false">I9*(1-J9)</f>
        <v>231990</v>
      </c>
      <c r="L9" s="21" t="n">
        <v>0</v>
      </c>
      <c r="M9" s="21" t="n">
        <v>1200</v>
      </c>
      <c r="N9" s="22" t="n">
        <f aca="false">K9-L9+M9</f>
        <v>233190</v>
      </c>
      <c r="O9" s="24" t="n">
        <v>0.05</v>
      </c>
      <c r="P9" s="22" t="n">
        <f aca="false">N9*O9</f>
        <v>11659.5</v>
      </c>
      <c r="Q9" s="21" t="n">
        <v>0</v>
      </c>
      <c r="R9" s="25" t="n">
        <f aca="false">ROUND(N9+P9+Q9,2)</f>
        <v>244849.5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80"/>
  </cols>
  <sheetData>
    <row r="1" customFormat="false" ht="19.7" hidden="false" customHeight="false" outlineLevel="0" collapsed="false">
      <c r="A1" s="16" t="s">
        <v>43</v>
      </c>
    </row>
    <row r="3" customFormat="false" ht="25.5" hidden="false" customHeight="true" outlineLevel="0" collapsed="false">
      <c r="A3" s="3" t="s">
        <v>10</v>
      </c>
      <c r="B3" s="10" t="s">
        <v>44</v>
      </c>
      <c r="C3" s="11" t="s">
        <v>45</v>
      </c>
    </row>
    <row r="4" customFormat="false" ht="91.5" hidden="false" customHeight="true" outlineLevel="0" collapsed="false">
      <c r="A4" s="26" t="n">
        <v>1</v>
      </c>
      <c r="B4" s="27" t="s">
        <v>46</v>
      </c>
      <c r="C4" s="27" t="s">
        <v>47</v>
      </c>
    </row>
    <row r="5" customFormat="false" ht="78" hidden="false" customHeight="true" outlineLevel="0" collapsed="false">
      <c r="A5" s="26" t="n">
        <v>2</v>
      </c>
      <c r="B5" s="27" t="s">
        <v>48</v>
      </c>
      <c r="C5" s="27" t="s">
        <v>49</v>
      </c>
    </row>
    <row r="6" customFormat="false" ht="91.5" hidden="false" customHeight="true" outlineLevel="0" collapsed="false">
      <c r="A6" s="26" t="n">
        <v>3</v>
      </c>
      <c r="B6" s="27" t="s">
        <v>50</v>
      </c>
      <c r="C6" s="27" t="s">
        <v>51</v>
      </c>
    </row>
    <row r="7" customFormat="false" ht="78" hidden="false" customHeight="true" outlineLevel="0" collapsed="false">
      <c r="A7" s="26" t="n">
        <v>4</v>
      </c>
      <c r="B7" s="27" t="s">
        <v>48</v>
      </c>
      <c r="C7" s="27" t="s">
        <v>52</v>
      </c>
    </row>
    <row r="8" customFormat="false" ht="91.5" hidden="false" customHeight="true" outlineLevel="0" collapsed="false">
      <c r="A8" s="26" t="n">
        <v>5</v>
      </c>
      <c r="B8" s="27" t="s">
        <v>48</v>
      </c>
      <c r="C8" s="27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9.7" hidden="false" customHeight="false" outlineLevel="0" collapsed="false">
      <c r="A1" s="16" t="s">
        <v>54</v>
      </c>
    </row>
    <row r="3" customFormat="false" ht="15" hidden="false" customHeight="false" outlineLevel="0" collapsed="false">
      <c r="A3" s="28" t="s">
        <v>55</v>
      </c>
    </row>
    <row r="4" customFormat="false" ht="18" hidden="false" customHeight="true" outlineLevel="0" collapsed="false">
      <c r="A4" s="29" t="s">
        <v>56</v>
      </c>
    </row>
    <row r="5" customFormat="false" ht="45.75" hidden="false" customHeight="true" outlineLevel="0" collapsed="false">
      <c r="A5" s="29" t="s">
        <v>57</v>
      </c>
    </row>
    <row r="6" customFormat="false" ht="31.5" hidden="false" customHeight="true" outlineLevel="0" collapsed="false">
      <c r="A6" s="29" t="s">
        <v>58</v>
      </c>
    </row>
    <row r="7" customFormat="false" ht="45.75" hidden="false" customHeight="true" outlineLevel="0" collapsed="false">
      <c r="A7" s="29" t="s">
        <v>59</v>
      </c>
    </row>
    <row r="8" customFormat="false" ht="45.75" hidden="false" customHeight="true" outlineLevel="0" collapsed="false">
      <c r="A8" s="29" t="s">
        <v>60</v>
      </c>
    </row>
    <row r="9" customFormat="false" ht="45.75" hidden="false" customHeight="true" outlineLevel="0" collapsed="false">
      <c r="A9" s="29" t="s">
        <v>61</v>
      </c>
    </row>
    <row r="11" customFormat="false" ht="15" hidden="false" customHeight="false" outlineLevel="0" collapsed="false">
      <c r="A11" s="30" t="s">
        <v>62</v>
      </c>
    </row>
    <row r="12" customFormat="false" ht="18" hidden="false" customHeight="true" outlineLevel="0" collapsed="false">
      <c r="A12" s="29" t="s">
        <v>63</v>
      </c>
    </row>
    <row r="13" customFormat="false" ht="45.75" hidden="false" customHeight="true" outlineLevel="0" collapsed="false">
      <c r="A13" s="29" t="s">
        <v>57</v>
      </c>
    </row>
    <row r="14" customFormat="false" ht="31.5" hidden="false" customHeight="true" outlineLevel="0" collapsed="false">
      <c r="A14" s="29" t="s">
        <v>58</v>
      </c>
    </row>
    <row r="15" customFormat="false" ht="45.75" hidden="false" customHeight="true" outlineLevel="0" collapsed="false">
      <c r="A15" s="29" t="s">
        <v>59</v>
      </c>
    </row>
    <row r="16" customFormat="false" ht="45.75" hidden="false" customHeight="true" outlineLevel="0" collapsed="false">
      <c r="A16" s="29" t="s">
        <v>60</v>
      </c>
    </row>
    <row r="17" customFormat="false" ht="45.75" hidden="false" customHeight="true" outlineLevel="0" collapsed="false">
      <c r="A17" s="29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2026-10-30T06:44:57Z</dcterms:created>
  <dc:creator>openpyxl</dc:creator>
  <dc:description/>
  <dc:language>en-US</dc:language>
  <cp:lastModifiedBy/>
  <dcterms:modified xsi:type="dcterms:W3CDTF">2026-10-30T06:44:57Z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